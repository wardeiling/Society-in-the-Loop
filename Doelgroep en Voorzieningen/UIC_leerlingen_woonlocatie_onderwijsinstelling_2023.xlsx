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80\Documents\GitHub\Society-in-the-Loop\Doelgroep en Voorzieningen\"/>
    </mc:Choice>
  </mc:AlternateContent>
  <xr:revisionPtr revIDLastSave="0" documentId="13_ncr:9_{64EB2675-574C-4EED-A27E-9CB34E18738D}" xr6:coauthVersionLast="47" xr6:coauthVersionMax="47" xr10:uidLastSave="{00000000-0000-0000-0000-000000000000}"/>
  <bookViews>
    <workbookView xWindow="4215" yWindow="2475" windowWidth="21600" windowHeight="11385" xr2:uid="{1AACE811-35A5-434F-9ED7-029E6AD3FAEF}"/>
  </bookViews>
  <sheets>
    <sheet name="UIC_leerlingen_woonlocatie_onde" sheetId="1" r:id="rId1"/>
  </sheets>
  <calcPr calcId="0"/>
</workbook>
</file>

<file path=xl/calcChain.xml><?xml version="1.0" encoding="utf-8"?>
<calcChain xmlns="http://schemas.openxmlformats.org/spreadsheetml/2006/main">
  <c r="D13" i="1" l="1"/>
  <c r="B16" i="1" s="1"/>
  <c r="B18" i="1" s="1"/>
  <c r="E13" i="1"/>
  <c r="F13" i="1"/>
  <c r="G13" i="1"/>
  <c r="H13" i="1"/>
  <c r="I13" i="1"/>
  <c r="J13" i="1"/>
  <c r="K13" i="1"/>
  <c r="L13" i="1"/>
  <c r="C13" i="1"/>
  <c r="M4" i="1"/>
  <c r="B20" i="1" s="1"/>
  <c r="M5" i="1"/>
  <c r="M6" i="1"/>
  <c r="M7" i="1"/>
  <c r="M8" i="1"/>
  <c r="M9" i="1"/>
  <c r="M10" i="1"/>
  <c r="M11" i="1"/>
  <c r="M12" i="1"/>
  <c r="M3" i="1"/>
  <c r="B22" i="1" l="1"/>
</calcChain>
</file>

<file path=xl/sharedStrings.xml><?xml version="1.0" encoding="utf-8"?>
<sst xmlns="http://schemas.openxmlformats.org/spreadsheetml/2006/main" count="41" uniqueCount="23">
  <si>
    <t>Wijken</t>
  </si>
  <si>
    <t>West</t>
  </si>
  <si>
    <t>Noordwest</t>
  </si>
  <si>
    <t>.</t>
  </si>
  <si>
    <t>Overvecht</t>
  </si>
  <si>
    <t>Noordoost</t>
  </si>
  <si>
    <t>Oost</t>
  </si>
  <si>
    <t>Binnenstad</t>
  </si>
  <si>
    <t>Zuid</t>
  </si>
  <si>
    <t>Zuidwest</t>
  </si>
  <si>
    <t>Leidsche Rijn</t>
  </si>
  <si>
    <t>Vleuten-De Meern</t>
  </si>
  <si>
    <t>Van</t>
  </si>
  <si>
    <t>Naar</t>
  </si>
  <si>
    <t>Totaal</t>
  </si>
  <si>
    <t>Van Noordwest naar Noordwest</t>
  </si>
  <si>
    <t>Van Noordwest naar andere wijk</t>
  </si>
  <si>
    <t>Van andere wijken naar Noordwest</t>
  </si>
  <si>
    <t>van de leerlingen die wonen in de wijk Noordwest gaan naar het voortgezet onderwijs in Noordwest.</t>
  </si>
  <si>
    <t>van de leerlingen die wonen in de wijk Noordwest gaan naar het voortgezet onderwijs in een andere wijk.</t>
  </si>
  <si>
    <t>van de leerlingen op het voortgezet onderwijs in Noordwest komt uit andere wijken</t>
  </si>
  <si>
    <t>van de leerlingen op het voortgezet onderwijs in Noordwest komt uit Noordwest</t>
  </si>
  <si>
    <t>Naar Noordwest van Noordwest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</si>
</sst>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textRotation="255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 applyAlignment="1">
      <alignment textRotation="255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172" fontId="0" fillId="0" borderId="0" xfId="1" applyNumberFormat="1" applyFon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B75F-7F93-4F85-9D53-EB54276FABC7}">
  <dimension ref="A1:M22"/>
  <sheetViews>
    <sheetView tabSelected="1" zoomScale="158" workbookViewId="0">
      <selection activeCell="B16" sqref="B16"/>
    </sheetView>
  </sheetViews>
  <sheetFormatPr defaultRowHeight="15" x14ac:dyDescent="0.25"/>
  <cols>
    <col min="2" max="2" width="17.28515625" bestFit="1" customWidth="1"/>
    <col min="4" max="4" width="10.28515625" bestFit="1" customWidth="1"/>
    <col min="8" max="8" width="12.5703125" customWidth="1"/>
    <col min="9" max="9" width="9.7109375" customWidth="1"/>
    <col min="10" max="10" width="8.7109375" bestFit="1" customWidth="1"/>
    <col min="11" max="11" width="12.42578125" bestFit="1" customWidth="1"/>
    <col min="12" max="12" width="17.28515625" bestFit="1" customWidth="1"/>
  </cols>
  <sheetData>
    <row r="1" spans="1:13" x14ac:dyDescent="0.25">
      <c r="A1" s="4"/>
      <c r="B1" s="4"/>
      <c r="C1" s="1" t="s">
        <v>12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5">
      <c r="A2" s="6"/>
      <c r="B2" s="5" t="s">
        <v>0</v>
      </c>
      <c r="C2" s="8" t="s">
        <v>1</v>
      </c>
      <c r="D2" s="9" t="s">
        <v>2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8" t="s">
        <v>14</v>
      </c>
    </row>
    <row r="3" spans="1:13" x14ac:dyDescent="0.25">
      <c r="A3" s="2" t="s">
        <v>13</v>
      </c>
      <c r="B3" s="7" t="s">
        <v>1</v>
      </c>
      <c r="C3">
        <v>107</v>
      </c>
      <c r="D3">
        <v>38</v>
      </c>
      <c r="E3">
        <v>12</v>
      </c>
      <c r="F3">
        <v>95</v>
      </c>
      <c r="G3">
        <v>48</v>
      </c>
      <c r="H3">
        <v>23</v>
      </c>
      <c r="I3">
        <v>44</v>
      </c>
      <c r="J3">
        <v>47</v>
      </c>
      <c r="K3">
        <v>180</v>
      </c>
      <c r="L3">
        <v>193</v>
      </c>
      <c r="M3" s="10">
        <f>SUM(C3:L3)</f>
        <v>787</v>
      </c>
    </row>
    <row r="4" spans="1:13" x14ac:dyDescent="0.25">
      <c r="A4" s="2"/>
      <c r="B4" s="3" t="s">
        <v>2</v>
      </c>
      <c r="C4">
        <v>45</v>
      </c>
      <c r="D4">
        <v>149</v>
      </c>
      <c r="E4">
        <v>106</v>
      </c>
      <c r="F4">
        <v>28</v>
      </c>
      <c r="G4">
        <v>14</v>
      </c>
      <c r="H4" t="s">
        <v>3</v>
      </c>
      <c r="I4">
        <v>32</v>
      </c>
      <c r="J4">
        <v>55</v>
      </c>
      <c r="K4">
        <v>65</v>
      </c>
      <c r="L4">
        <v>24</v>
      </c>
      <c r="M4" s="10">
        <f t="shared" ref="M4:M12" si="0">SUM(C4:L4)</f>
        <v>518</v>
      </c>
    </row>
    <row r="5" spans="1:13" x14ac:dyDescent="0.25">
      <c r="A5" s="2"/>
      <c r="B5" s="3" t="s">
        <v>4</v>
      </c>
      <c r="C5">
        <v>128</v>
      </c>
      <c r="D5">
        <v>174</v>
      </c>
      <c r="E5">
        <v>394</v>
      </c>
      <c r="F5">
        <v>72</v>
      </c>
      <c r="G5">
        <v>32</v>
      </c>
      <c r="H5">
        <v>13</v>
      </c>
      <c r="I5">
        <v>44</v>
      </c>
      <c r="J5">
        <v>86</v>
      </c>
      <c r="K5">
        <v>30</v>
      </c>
      <c r="L5">
        <v>43</v>
      </c>
      <c r="M5" s="10">
        <f t="shared" si="0"/>
        <v>1016</v>
      </c>
    </row>
    <row r="6" spans="1:13" x14ac:dyDescent="0.25">
      <c r="A6" s="2"/>
      <c r="B6" s="3" t="s">
        <v>5</v>
      </c>
      <c r="C6">
        <v>108</v>
      </c>
      <c r="D6">
        <v>182</v>
      </c>
      <c r="E6">
        <v>388</v>
      </c>
      <c r="F6">
        <v>272</v>
      </c>
      <c r="G6">
        <v>97</v>
      </c>
      <c r="H6">
        <v>21</v>
      </c>
      <c r="I6">
        <v>97</v>
      </c>
      <c r="J6">
        <v>80</v>
      </c>
      <c r="K6">
        <v>36</v>
      </c>
      <c r="L6" t="s">
        <v>3</v>
      </c>
      <c r="M6" s="10">
        <f t="shared" si="0"/>
        <v>1281</v>
      </c>
    </row>
    <row r="7" spans="1:13" x14ac:dyDescent="0.25">
      <c r="A7" s="2"/>
      <c r="B7" s="3" t="s">
        <v>6</v>
      </c>
      <c r="C7">
        <v>208</v>
      </c>
      <c r="D7">
        <v>172</v>
      </c>
      <c r="E7">
        <v>113</v>
      </c>
      <c r="F7">
        <v>438</v>
      </c>
      <c r="G7">
        <v>489</v>
      </c>
      <c r="H7">
        <v>92</v>
      </c>
      <c r="I7">
        <v>293</v>
      </c>
      <c r="J7">
        <v>311</v>
      </c>
      <c r="K7">
        <v>145</v>
      </c>
      <c r="L7">
        <v>82</v>
      </c>
      <c r="M7" s="10">
        <f t="shared" si="0"/>
        <v>2343</v>
      </c>
    </row>
    <row r="8" spans="1:13" x14ac:dyDescent="0.25">
      <c r="A8" s="2"/>
      <c r="B8" s="3" t="s">
        <v>7</v>
      </c>
      <c r="C8">
        <v>125</v>
      </c>
      <c r="D8">
        <v>188</v>
      </c>
      <c r="E8">
        <v>157</v>
      </c>
      <c r="F8">
        <v>165</v>
      </c>
      <c r="G8">
        <v>116</v>
      </c>
      <c r="H8">
        <v>34</v>
      </c>
      <c r="I8">
        <v>109</v>
      </c>
      <c r="J8">
        <v>114</v>
      </c>
      <c r="K8">
        <v>134</v>
      </c>
      <c r="L8">
        <v>88</v>
      </c>
      <c r="M8" s="10">
        <f t="shared" si="0"/>
        <v>1230</v>
      </c>
    </row>
    <row r="9" spans="1:13" x14ac:dyDescent="0.25">
      <c r="A9" s="2"/>
      <c r="B9" s="3" t="s">
        <v>8</v>
      </c>
      <c r="C9" t="s">
        <v>3</v>
      </c>
      <c r="D9">
        <v>28</v>
      </c>
      <c r="E9">
        <v>19</v>
      </c>
      <c r="F9">
        <v>18</v>
      </c>
      <c r="G9" t="s">
        <v>3</v>
      </c>
      <c r="H9" t="s">
        <v>3</v>
      </c>
      <c r="I9">
        <v>22</v>
      </c>
      <c r="J9">
        <v>18</v>
      </c>
      <c r="K9">
        <v>32</v>
      </c>
      <c r="L9">
        <v>37</v>
      </c>
      <c r="M9" s="10">
        <f t="shared" si="0"/>
        <v>174</v>
      </c>
    </row>
    <row r="10" spans="1:13" x14ac:dyDescent="0.25">
      <c r="A10" s="2"/>
      <c r="B10" s="3" t="s">
        <v>9</v>
      </c>
      <c r="C10">
        <v>294</v>
      </c>
      <c r="D10">
        <v>230</v>
      </c>
      <c r="E10">
        <v>173</v>
      </c>
      <c r="F10">
        <v>208</v>
      </c>
      <c r="G10">
        <v>143</v>
      </c>
      <c r="H10">
        <v>58</v>
      </c>
      <c r="I10">
        <v>272</v>
      </c>
      <c r="J10">
        <v>712</v>
      </c>
      <c r="K10">
        <v>401</v>
      </c>
      <c r="L10">
        <v>209</v>
      </c>
      <c r="M10" s="10">
        <f t="shared" si="0"/>
        <v>2700</v>
      </c>
    </row>
    <row r="11" spans="1:13" x14ac:dyDescent="0.25">
      <c r="A11" s="2"/>
      <c r="B11" s="3" t="s">
        <v>10</v>
      </c>
      <c r="C11">
        <v>214</v>
      </c>
      <c r="D11">
        <v>167</v>
      </c>
      <c r="E11">
        <v>104</v>
      </c>
      <c r="F11">
        <v>25</v>
      </c>
      <c r="G11">
        <v>11</v>
      </c>
      <c r="H11" t="s">
        <v>3</v>
      </c>
      <c r="I11">
        <v>34</v>
      </c>
      <c r="J11">
        <v>148</v>
      </c>
      <c r="K11">
        <v>996</v>
      </c>
      <c r="L11">
        <v>809</v>
      </c>
      <c r="M11" s="10">
        <f t="shared" si="0"/>
        <v>2508</v>
      </c>
    </row>
    <row r="12" spans="1:13" x14ac:dyDescent="0.25">
      <c r="A12" s="2"/>
      <c r="B12" s="3" t="s">
        <v>11</v>
      </c>
      <c r="C12">
        <v>113</v>
      </c>
      <c r="D12">
        <v>57</v>
      </c>
      <c r="E12">
        <v>51</v>
      </c>
      <c r="F12">
        <v>10</v>
      </c>
      <c r="G12" t="s">
        <v>3</v>
      </c>
      <c r="H12" t="s">
        <v>3</v>
      </c>
      <c r="I12">
        <v>20</v>
      </c>
      <c r="J12">
        <v>67</v>
      </c>
      <c r="K12">
        <v>716</v>
      </c>
      <c r="L12">
        <v>1351</v>
      </c>
      <c r="M12" s="10">
        <f t="shared" si="0"/>
        <v>2385</v>
      </c>
    </row>
    <row r="13" spans="1:13" x14ac:dyDescent="0.25">
      <c r="A13" s="2"/>
      <c r="B13" s="7" t="s">
        <v>14</v>
      </c>
      <c r="C13" s="11">
        <f>SUM(C3:C12)</f>
        <v>1342</v>
      </c>
      <c r="D13" s="12">
        <f t="shared" ref="D13:L13" si="1">SUM(D3:D12)</f>
        <v>1385</v>
      </c>
      <c r="E13" s="12">
        <f t="shared" si="1"/>
        <v>1517</v>
      </c>
      <c r="F13" s="12">
        <f t="shared" si="1"/>
        <v>1331</v>
      </c>
      <c r="G13" s="12">
        <f t="shared" si="1"/>
        <v>950</v>
      </c>
      <c r="H13" s="12">
        <f t="shared" si="1"/>
        <v>241</v>
      </c>
      <c r="I13" s="12">
        <f t="shared" si="1"/>
        <v>967</v>
      </c>
      <c r="J13" s="12">
        <f t="shared" si="1"/>
        <v>1638</v>
      </c>
      <c r="K13" s="12">
        <f t="shared" si="1"/>
        <v>2735</v>
      </c>
      <c r="L13" s="12">
        <f t="shared" si="1"/>
        <v>2836</v>
      </c>
      <c r="M13" s="11"/>
    </row>
    <row r="15" spans="1:13" x14ac:dyDescent="0.25">
      <c r="B15" t="s">
        <v>15</v>
      </c>
    </row>
    <row r="16" spans="1:13" x14ac:dyDescent="0.25">
      <c r="B16" s="13">
        <f>D4/D13</f>
        <v>0.10758122743682311</v>
      </c>
      <c r="C16" t="s">
        <v>18</v>
      </c>
    </row>
    <row r="17" spans="2:3" x14ac:dyDescent="0.25">
      <c r="B17" t="s">
        <v>16</v>
      </c>
    </row>
    <row r="18" spans="2:3" x14ac:dyDescent="0.25">
      <c r="B18" s="13">
        <f>1-B16</f>
        <v>0.89241877256317692</v>
      </c>
      <c r="C18" t="s">
        <v>19</v>
      </c>
    </row>
    <row r="19" spans="2:3" x14ac:dyDescent="0.25">
      <c r="B19" s="14" t="s">
        <v>22</v>
      </c>
    </row>
    <row r="20" spans="2:3" x14ac:dyDescent="0.25">
      <c r="B20" s="13">
        <f>D4/M4</f>
        <v>0.28764478764478763</v>
      </c>
      <c r="C20" t="s">
        <v>21</v>
      </c>
    </row>
    <row r="21" spans="2:3" x14ac:dyDescent="0.25">
      <c r="B21" t="s">
        <v>17</v>
      </c>
    </row>
    <row r="22" spans="2:3" x14ac:dyDescent="0.25">
      <c r="B22" s="13">
        <f>(M4-D4)/M4</f>
        <v>0.71235521235521237</v>
      </c>
      <c r="C22" t="s">
        <v>20</v>
      </c>
    </row>
  </sheetData>
  <mergeCells count="2">
    <mergeCell ref="C1:M1"/>
    <mergeCell ref="A3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UIC_leerlingen_woonlocatie_onde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T480</dc:creator>
  <cp:lastModifiedBy>Eiling, W.B. (Ward)</cp:lastModifiedBy>
  <dcterms:created xsi:type="dcterms:W3CDTF">2024-11-15T14:41:06Z</dcterms:created>
  <dcterms:modified xsi:type="dcterms:W3CDTF">2024-11-17T14:53:07Z</dcterms:modified>
</cp:coreProperties>
</file>